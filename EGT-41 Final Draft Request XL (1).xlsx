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208\Downloads\"/>
    </mc:Choice>
  </mc:AlternateContent>
  <xr:revisionPtr revIDLastSave="0" documentId="8_{94EA991E-C0E1-4EE4-AE7E-19451363C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 Details" sheetId="1" r:id="rId1"/>
    <sheet name="Payment Details" sheetId="2" r:id="rId2"/>
    <sheet name="Witness Detai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I31" i="2"/>
  <c r="I32" i="2" l="1"/>
  <c r="I33" i="2" l="1"/>
</calcChain>
</file>

<file path=xl/sharedStrings.xml><?xml version="1.0" encoding="utf-8"?>
<sst xmlns="http://schemas.openxmlformats.org/spreadsheetml/2006/main" count="189" uniqueCount="91">
  <si>
    <t>Plot No.</t>
  </si>
  <si>
    <t>Area in Sq.Ft.</t>
  </si>
  <si>
    <t>Area in Sq.Mtr.</t>
  </si>
  <si>
    <t>Four Boundaries</t>
  </si>
  <si>
    <t>Plot Details</t>
  </si>
  <si>
    <t>East</t>
  </si>
  <si>
    <t>West</t>
  </si>
  <si>
    <t>North</t>
  </si>
  <si>
    <t>South</t>
  </si>
  <si>
    <t>Applicant details</t>
  </si>
  <si>
    <t>नाम</t>
  </si>
  <si>
    <t>पता</t>
  </si>
  <si>
    <t>पिता / पति का नाम</t>
  </si>
  <si>
    <t>Email</t>
  </si>
  <si>
    <t>Mobile Number</t>
  </si>
  <si>
    <t>PAN Number</t>
  </si>
  <si>
    <t>Aadhar Number</t>
  </si>
  <si>
    <t>Co-Applicant details</t>
  </si>
  <si>
    <t>Corner Plot (Yes/ No)</t>
  </si>
  <si>
    <t>Women Discount (Yes/No)</t>
  </si>
  <si>
    <t>Age</t>
  </si>
  <si>
    <t>Date of Birth</t>
  </si>
  <si>
    <t>Occupation</t>
  </si>
  <si>
    <t>Category (SC / ST / OBC / General)</t>
  </si>
  <si>
    <t>Documents to be attached with the form</t>
  </si>
  <si>
    <t>1) 3 side picture of Plot (Left, Right &amp; Center)</t>
  </si>
  <si>
    <t>2) Aadhar &amp; PAN card of applicant &amp; co-applicant</t>
  </si>
  <si>
    <t>3) Plot number marked in Map</t>
  </si>
  <si>
    <t>Payment Details</t>
  </si>
  <si>
    <t>S. No.</t>
  </si>
  <si>
    <t>Bank Name</t>
  </si>
  <si>
    <t>Bank Branch</t>
  </si>
  <si>
    <t>Bank City</t>
  </si>
  <si>
    <t>Cheque / NEFT / RTGS / INFT / IMPS / UPI number</t>
  </si>
  <si>
    <t>Amount</t>
  </si>
  <si>
    <t>Amount Total</t>
  </si>
  <si>
    <t>Date of Instrument (Date on Cheque)</t>
  </si>
  <si>
    <t>Allotment Value</t>
  </si>
  <si>
    <t>Mode of Instrument</t>
  </si>
  <si>
    <t>Balance Pending</t>
  </si>
  <si>
    <t>Witness 1 details</t>
  </si>
  <si>
    <t>Witness 2 details</t>
  </si>
  <si>
    <t>Name</t>
  </si>
  <si>
    <t>Mother's Name</t>
  </si>
  <si>
    <t>Paid from the Bank A/C of</t>
  </si>
  <si>
    <t>माता का नाम</t>
  </si>
  <si>
    <t>Father Name</t>
  </si>
  <si>
    <t xml:space="preserve">4) Advocate bank account details for transfer of stamp duty amount :
Account Name : 
Account Number : 
Bank &amp; Branch : 
IFSC code : </t>
  </si>
  <si>
    <t xml:space="preserve">PNB </t>
  </si>
  <si>
    <t>9 MT. Wide Road</t>
  </si>
  <si>
    <t>EMERALD GATEWAY Registery Format</t>
  </si>
  <si>
    <t>IDBI BANK</t>
  </si>
  <si>
    <t>IDFC BANK</t>
  </si>
  <si>
    <t>Idbi Bank</t>
  </si>
  <si>
    <t>Idfc  First Bank</t>
  </si>
  <si>
    <t>Yes Bank</t>
  </si>
  <si>
    <t>Axis  Bank</t>
  </si>
  <si>
    <t>Self Online</t>
  </si>
  <si>
    <t>TDS Challan</t>
  </si>
  <si>
    <t>RTGS- IBKLR62024060201531726</t>
  </si>
  <si>
    <t>RTGS- IBKLR62024060301533213</t>
  </si>
  <si>
    <t>NEFT- BARBV24157243467</t>
  </si>
  <si>
    <t>RTGS- IBKLR6202407050154</t>
  </si>
  <si>
    <t>RTGS- IBKLR62024070801513132</t>
  </si>
  <si>
    <t>RTGS- IBKLR62024101601519715</t>
  </si>
  <si>
    <t>RTGS - IBKLR62024110501542523</t>
  </si>
  <si>
    <t>RTGS - IBKLR62025021401509042</t>
  </si>
  <si>
    <t>RTGS - IBKLR6202502140150</t>
  </si>
  <si>
    <t>RTGS - IBKLR62025021401502890</t>
  </si>
  <si>
    <t>IMPS - 504810333485</t>
  </si>
  <si>
    <t>RTGS -IBKLR62025031701548569</t>
  </si>
  <si>
    <t>RTGS - IBKLR62025031801513556</t>
  </si>
  <si>
    <t>IMPS- 514215281764</t>
  </si>
  <si>
    <t>IMPS- 514816213839</t>
  </si>
  <si>
    <t>IMPS- 514913256283</t>
  </si>
  <si>
    <t>IMPS- 515120200807</t>
  </si>
  <si>
    <t>IMPS- 516110135407</t>
  </si>
  <si>
    <t>IMPS- 519717277023</t>
  </si>
  <si>
    <t>IMPS- 519815120101</t>
  </si>
  <si>
    <t>NEFT- 29420479381</t>
  </si>
  <si>
    <t>IMPS- 519910152030</t>
  </si>
  <si>
    <t>RTGS NO. IBKLR62025091601527068</t>
  </si>
  <si>
    <t>UPI- 526367862198</t>
  </si>
  <si>
    <t>IMPS- 527311231115</t>
  </si>
  <si>
    <t>IMPS- 615312224974</t>
  </si>
  <si>
    <t>IMPS- 615412273647</t>
  </si>
  <si>
    <t>CHALLAN NO- 01568</t>
  </si>
  <si>
    <t>No</t>
  </si>
  <si>
    <t>Plot No. 11</t>
  </si>
  <si>
    <t>Plot No. 40</t>
  </si>
  <si>
    <t>Plot No.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</si>
</sst>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badi"/>
      <family val="2"/>
    </font>
    <font>
      <sz val="10"/>
      <color theme="1"/>
      <name val="Abadi"/>
      <family val="2"/>
    </font>
    <font>
      <u/>
      <sz val="10"/>
      <color theme="1"/>
      <name val="Abadi"/>
      <family val="2"/>
    </font>
    <font>
      <sz val="11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/>
    <xf numFmtId="1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12" fontId="3" fillId="7" borderId="1" xfId="0" quotePrefix="1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zoomScaleNormal="100" workbookViewId="0">
      <selection activeCell="D9" sqref="D9"/>
    </sheetView>
  </sheetViews>
  <sheetFormatPr defaultColWidth="9.109375" defaultRowHeight="14.4" x14ac:dyDescent="0.3"/>
  <cols>
    <col min="1" max="1" width="25.109375" style="20" bestFit="1" customWidth="1"/>
    <col min="2" max="2" width="35.6640625" style="20" customWidth="1"/>
    <col min="3" max="3" width="9.109375" style="20"/>
    <col min="4" max="4" width="17" style="20" bestFit="1" customWidth="1"/>
    <col min="5" max="5" width="35.6640625" style="20" customWidth="1"/>
    <col min="6" max="10" width="9.109375" style="20"/>
    <col min="11" max="11" width="25.109375" style="20" bestFit="1" customWidth="1"/>
    <col min="12" max="12" width="4.44140625" style="20" bestFit="1" customWidth="1"/>
    <col min="13" max="16384" width="9.109375" style="20"/>
  </cols>
  <sheetData>
    <row r="1" spans="1:5" ht="30" customHeight="1" x14ac:dyDescent="0.3">
      <c r="A1" s="32" t="s">
        <v>50</v>
      </c>
      <c r="B1" s="32"/>
      <c r="C1" s="32"/>
      <c r="D1" s="32"/>
      <c r="E1" s="32"/>
    </row>
    <row r="2" spans="1:5" x14ac:dyDescent="0.3">
      <c r="A2" s="37" t="s">
        <v>4</v>
      </c>
      <c r="B2" s="37"/>
      <c r="D2" s="37" t="s">
        <v>3</v>
      </c>
      <c r="E2" s="37"/>
    </row>
    <row r="3" spans="1:5" x14ac:dyDescent="0.3">
      <c r="A3" s="19" t="s">
        <v>0</v>
      </c>
      <c r="B3" s="19">
        <v>41</v>
      </c>
      <c r="D3" s="19" t="s">
        <v>5</v>
      </c>
      <c r="E3" s="19" t="s">
        <v>49</v>
      </c>
    </row>
    <row r="4" spans="1:5" x14ac:dyDescent="0.3">
      <c r="A4" s="19" t="s">
        <v>37</v>
      </c>
      <c r="B4" s="28">
        <v>7869750</v>
      </c>
      <c r="D4" s="19" t="s">
        <v>6</v>
      </c>
      <c r="E4" s="19" t="s">
        <v>88</v>
      </c>
    </row>
    <row r="5" spans="1:5" x14ac:dyDescent="0.3">
      <c r="A5" s="19" t="s">
        <v>1</v>
      </c>
      <c r="B5" s="28">
        <v>1499</v>
      </c>
      <c r="D5" s="19" t="s">
        <v>7</v>
      </c>
      <c r="E5" s="19" t="s">
        <v>89</v>
      </c>
    </row>
    <row r="6" spans="1:5" x14ac:dyDescent="0.3">
      <c r="A6" s="19" t="s">
        <v>2</v>
      </c>
      <c r="B6" s="29">
        <f>B5/10.764</f>
        <v>139.26049795615015</v>
      </c>
      <c r="D6" s="19" t="s">
        <v>8</v>
      </c>
      <c r="E6" s="19" t="s">
        <v>90</v>
      </c>
    </row>
    <row r="7" spans="1:5" x14ac:dyDescent="0.3">
      <c r="A7" s="19" t="s">
        <v>18</v>
      </c>
      <c r="B7" s="19" t="s">
        <v>87</v>
      </c>
    </row>
    <row r="8" spans="1:5" x14ac:dyDescent="0.3">
      <c r="A8" s="19" t="s">
        <v>19</v>
      </c>
      <c r="B8" s="19" t="s">
        <v>87</v>
      </c>
    </row>
    <row r="10" spans="1:5" x14ac:dyDescent="0.3">
      <c r="A10" s="33" t="s">
        <v>9</v>
      </c>
      <c r="B10" s="33"/>
      <c r="D10" s="33" t="s">
        <v>17</v>
      </c>
      <c r="E10" s="33"/>
    </row>
    <row r="11" spans="1:5" ht="23.1" customHeight="1" x14ac:dyDescent="0.3">
      <c r="A11" s="19" t="s">
        <v>10</v>
      </c>
      <c r="B11" s="19"/>
      <c r="D11" s="19" t="s">
        <v>10</v>
      </c>
      <c r="E11" s="19"/>
    </row>
    <row r="12" spans="1:5" x14ac:dyDescent="0.3">
      <c r="A12" s="21" t="s">
        <v>12</v>
      </c>
      <c r="B12" s="21"/>
      <c r="D12" s="21" t="s">
        <v>12</v>
      </c>
      <c r="E12" s="19"/>
    </row>
    <row r="13" spans="1:5" ht="23.1" customHeight="1" x14ac:dyDescent="0.3">
      <c r="A13" s="22" t="s">
        <v>45</v>
      </c>
      <c r="B13" s="19"/>
      <c r="D13" s="22" t="s">
        <v>45</v>
      </c>
      <c r="E13" s="23"/>
    </row>
    <row r="14" spans="1:5" ht="23.1" customHeight="1" x14ac:dyDescent="0.3">
      <c r="A14" s="34" t="s">
        <v>11</v>
      </c>
      <c r="B14" s="38"/>
      <c r="D14" s="34" t="s">
        <v>11</v>
      </c>
      <c r="E14" s="38"/>
    </row>
    <row r="15" spans="1:5" ht="23.1" customHeight="1" x14ac:dyDescent="0.3">
      <c r="A15" s="35"/>
      <c r="B15" s="39"/>
      <c r="D15" s="35"/>
      <c r="E15" s="39"/>
    </row>
    <row r="16" spans="1:5" ht="30" customHeight="1" x14ac:dyDescent="0.3">
      <c r="A16" s="21" t="s">
        <v>23</v>
      </c>
      <c r="B16" s="21"/>
      <c r="D16" s="21" t="s">
        <v>23</v>
      </c>
      <c r="E16" s="19"/>
    </row>
    <row r="17" spans="1:5" ht="23.1" customHeight="1" x14ac:dyDescent="0.3">
      <c r="A17" s="19" t="s">
        <v>22</v>
      </c>
      <c r="B17" s="19"/>
      <c r="D17" s="19" t="s">
        <v>22</v>
      </c>
      <c r="E17" s="19"/>
    </row>
    <row r="18" spans="1:5" ht="23.1" customHeight="1" x14ac:dyDescent="0.3">
      <c r="A18" s="21" t="s">
        <v>21</v>
      </c>
      <c r="B18" s="24"/>
      <c r="D18" s="21" t="s">
        <v>21</v>
      </c>
      <c r="E18" s="24"/>
    </row>
    <row r="19" spans="1:5" ht="23.1" customHeight="1" x14ac:dyDescent="0.3">
      <c r="A19" s="19" t="s">
        <v>20</v>
      </c>
      <c r="B19" s="19"/>
      <c r="D19" s="19" t="s">
        <v>20</v>
      </c>
      <c r="E19" s="19"/>
    </row>
    <row r="20" spans="1:5" ht="23.1" customHeight="1" x14ac:dyDescent="0.3">
      <c r="A20" s="19" t="s">
        <v>13</v>
      </c>
      <c r="B20" s="26"/>
      <c r="D20" s="19" t="s">
        <v>13</v>
      </c>
      <c r="E20" s="27"/>
    </row>
    <row r="21" spans="1:5" ht="23.1" customHeight="1" x14ac:dyDescent="0.3">
      <c r="A21" s="19" t="s">
        <v>14</v>
      </c>
      <c r="B21" s="19"/>
      <c r="D21" s="19" t="s">
        <v>14</v>
      </c>
      <c r="E21" s="19"/>
    </row>
    <row r="22" spans="1:5" ht="23.1" customHeight="1" x14ac:dyDescent="0.3">
      <c r="A22" s="19" t="s">
        <v>15</v>
      </c>
      <c r="B22" s="19"/>
      <c r="D22" s="19" t="s">
        <v>15</v>
      </c>
      <c r="E22" s="19"/>
    </row>
    <row r="23" spans="1:5" ht="23.1" customHeight="1" x14ac:dyDescent="0.3">
      <c r="A23" s="19" t="s">
        <v>16</v>
      </c>
      <c r="B23" s="25"/>
      <c r="D23" s="19" t="s">
        <v>16</v>
      </c>
      <c r="E23" s="25"/>
    </row>
    <row r="25" spans="1:5" x14ac:dyDescent="0.3">
      <c r="A25" s="36" t="s">
        <v>24</v>
      </c>
      <c r="B25" s="36"/>
      <c r="C25" s="36"/>
      <c r="D25" s="36"/>
      <c r="E25" s="36"/>
    </row>
    <row r="26" spans="1:5" x14ac:dyDescent="0.3">
      <c r="A26" s="30" t="s">
        <v>25</v>
      </c>
      <c r="B26" s="30"/>
      <c r="C26" s="30"/>
      <c r="D26" s="30"/>
      <c r="E26" s="30"/>
    </row>
    <row r="27" spans="1:5" x14ac:dyDescent="0.3">
      <c r="A27" s="30" t="s">
        <v>26</v>
      </c>
      <c r="B27" s="30"/>
      <c r="C27" s="30"/>
      <c r="D27" s="30"/>
      <c r="E27" s="30"/>
    </row>
    <row r="28" spans="1:5" x14ac:dyDescent="0.3">
      <c r="A28" s="30" t="s">
        <v>27</v>
      </c>
      <c r="B28" s="30"/>
      <c r="C28" s="30"/>
      <c r="D28" s="30"/>
      <c r="E28" s="30"/>
    </row>
    <row r="29" spans="1:5" x14ac:dyDescent="0.3">
      <c r="A29" s="31" t="s">
        <v>47</v>
      </c>
      <c r="B29" s="30"/>
      <c r="C29" s="30"/>
      <c r="D29" s="30"/>
      <c r="E29" s="30"/>
    </row>
    <row r="30" spans="1:5" x14ac:dyDescent="0.3">
      <c r="A30" s="30"/>
      <c r="B30" s="30"/>
      <c r="C30" s="30"/>
      <c r="D30" s="30"/>
      <c r="E30" s="30"/>
    </row>
    <row r="31" spans="1:5" x14ac:dyDescent="0.3">
      <c r="A31" s="30"/>
      <c r="B31" s="30"/>
      <c r="C31" s="30"/>
      <c r="D31" s="30"/>
      <c r="E31" s="30"/>
    </row>
    <row r="32" spans="1:5" x14ac:dyDescent="0.3">
      <c r="A32" s="30"/>
      <c r="B32" s="30"/>
      <c r="C32" s="30"/>
      <c r="D32" s="30"/>
      <c r="E32" s="30"/>
    </row>
    <row r="33" spans="1:5" x14ac:dyDescent="0.3">
      <c r="A33" s="30"/>
      <c r="B33" s="30"/>
      <c r="C33" s="30"/>
      <c r="D33" s="30"/>
      <c r="E33" s="30"/>
    </row>
  </sheetData>
  <mergeCells count="14">
    <mergeCell ref="A27:E27"/>
    <mergeCell ref="A28:E28"/>
    <mergeCell ref="A29:E33"/>
    <mergeCell ref="A1:E1"/>
    <mergeCell ref="D10:E10"/>
    <mergeCell ref="D14:D15"/>
    <mergeCell ref="A26:E26"/>
    <mergeCell ref="A25:E25"/>
    <mergeCell ref="A2:B2"/>
    <mergeCell ref="D2:E2"/>
    <mergeCell ref="A14:A15"/>
    <mergeCell ref="A10:B10"/>
    <mergeCell ref="E14:E15"/>
    <mergeCell ref="B14:B1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&amp;RCustomer Signature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3"/>
  <sheetViews>
    <sheetView topLeftCell="A14" zoomScaleNormal="100" workbookViewId="0">
      <selection activeCell="B38" sqref="B38"/>
    </sheetView>
  </sheetViews>
  <sheetFormatPr defaultColWidth="15" defaultRowHeight="12" x14ac:dyDescent="0.3"/>
  <cols>
    <col min="1" max="1" width="6.109375" style="9" bestFit="1" customWidth="1"/>
    <col min="2" max="2" width="39.33203125" style="9" customWidth="1"/>
    <col min="3" max="3" width="18.44140625" style="10" bestFit="1" customWidth="1"/>
    <col min="4" max="4" width="47.6640625" style="9" customWidth="1"/>
    <col min="5" max="5" width="11.6640625" style="9" hidden="1" customWidth="1"/>
    <col min="6" max="6" width="9.109375" style="9" hidden="1" customWidth="1"/>
    <col min="7" max="7" width="35.6640625" style="9" bestFit="1" customWidth="1"/>
    <col min="8" max="8" width="38.33203125" style="11" bestFit="1" customWidth="1"/>
    <col min="9" max="9" width="13.44140625" style="9" bestFit="1" customWidth="1"/>
    <col min="10" max="16384" width="15" style="9"/>
  </cols>
  <sheetData>
    <row r="1" spans="1:9" x14ac:dyDescent="0.3">
      <c r="A1" s="40" t="s">
        <v>28</v>
      </c>
      <c r="B1" s="40"/>
      <c r="C1" s="40"/>
      <c r="D1" s="40"/>
      <c r="E1" s="40"/>
      <c r="F1" s="40"/>
      <c r="G1" s="40"/>
      <c r="H1" s="40"/>
      <c r="I1" s="40"/>
    </row>
    <row r="2" spans="1:9" ht="24" x14ac:dyDescent="0.3">
      <c r="A2" s="13" t="s">
        <v>29</v>
      </c>
      <c r="B2" s="14" t="s">
        <v>44</v>
      </c>
      <c r="C2" s="14" t="s">
        <v>36</v>
      </c>
      <c r="D2" s="13" t="s">
        <v>30</v>
      </c>
      <c r="E2" s="13" t="s">
        <v>31</v>
      </c>
      <c r="F2" s="13" t="s">
        <v>32</v>
      </c>
      <c r="G2" s="14" t="s">
        <v>38</v>
      </c>
      <c r="H2" s="15" t="s">
        <v>33</v>
      </c>
      <c r="I2" s="13" t="s">
        <v>34</v>
      </c>
    </row>
    <row r="3" spans="1:9" ht="14.4" x14ac:dyDescent="0.3">
      <c r="A3" s="43">
        <v>1</v>
      </c>
      <c r="B3" s="16" t="s">
        <v>48</v>
      </c>
      <c r="C3" s="46">
        <v>45445</v>
      </c>
      <c r="D3" s="44" t="s">
        <v>51</v>
      </c>
      <c r="E3" s="43"/>
      <c r="F3" s="43"/>
      <c r="G3" s="45" t="s">
        <v>57</v>
      </c>
      <c r="H3" s="44" t="s">
        <v>59</v>
      </c>
      <c r="I3" s="44">
        <v>750000</v>
      </c>
    </row>
    <row r="4" spans="1:9" ht="14.4" x14ac:dyDescent="0.3">
      <c r="A4" s="43">
        <v>2</v>
      </c>
      <c r="B4" s="16" t="s">
        <v>48</v>
      </c>
      <c r="C4" s="46">
        <v>45446</v>
      </c>
      <c r="D4" s="44" t="s">
        <v>51</v>
      </c>
      <c r="E4" s="43"/>
      <c r="F4" s="43"/>
      <c r="G4" s="45" t="s">
        <v>57</v>
      </c>
      <c r="H4" s="44" t="s">
        <v>60</v>
      </c>
      <c r="I4" s="44">
        <v>750000</v>
      </c>
    </row>
    <row r="5" spans="1:9" ht="14.4" x14ac:dyDescent="0.3">
      <c r="A5" s="43">
        <v>3</v>
      </c>
      <c r="B5" s="16" t="s">
        <v>48</v>
      </c>
      <c r="C5" s="46">
        <v>45447</v>
      </c>
      <c r="D5" s="44" t="s">
        <v>52</v>
      </c>
      <c r="E5" s="43"/>
      <c r="F5" s="43"/>
      <c r="G5" s="45" t="s">
        <v>57</v>
      </c>
      <c r="H5" s="44" t="s">
        <v>61</v>
      </c>
      <c r="I5" s="44">
        <v>73950</v>
      </c>
    </row>
    <row r="6" spans="1:9" ht="14.4" x14ac:dyDescent="0.3">
      <c r="A6" s="43">
        <v>4</v>
      </c>
      <c r="B6" s="16" t="s">
        <v>48</v>
      </c>
      <c r="C6" s="46">
        <v>45478</v>
      </c>
      <c r="D6" s="44" t="s">
        <v>51</v>
      </c>
      <c r="E6" s="43"/>
      <c r="F6" s="43"/>
      <c r="G6" s="45" t="s">
        <v>57</v>
      </c>
      <c r="H6" s="44" t="s">
        <v>62</v>
      </c>
      <c r="I6" s="44">
        <v>500000</v>
      </c>
    </row>
    <row r="7" spans="1:9" ht="14.4" x14ac:dyDescent="0.3">
      <c r="A7" s="43">
        <v>5</v>
      </c>
      <c r="B7" s="16" t="s">
        <v>48</v>
      </c>
      <c r="C7" s="46">
        <v>45481</v>
      </c>
      <c r="D7" s="44" t="s">
        <v>51</v>
      </c>
      <c r="E7" s="43"/>
      <c r="F7" s="43"/>
      <c r="G7" s="45" t="s">
        <v>57</v>
      </c>
      <c r="H7" s="44" t="s">
        <v>63</v>
      </c>
      <c r="I7" s="44">
        <v>286975</v>
      </c>
    </row>
    <row r="8" spans="1:9" ht="14.4" x14ac:dyDescent="0.3">
      <c r="A8" s="43">
        <v>6</v>
      </c>
      <c r="B8" s="16" t="s">
        <v>48</v>
      </c>
      <c r="C8" s="46">
        <v>45581</v>
      </c>
      <c r="D8" s="44" t="s">
        <v>51</v>
      </c>
      <c r="E8" s="43"/>
      <c r="F8" s="43"/>
      <c r="G8" s="45" t="s">
        <v>57</v>
      </c>
      <c r="H8" s="44" t="s">
        <v>64</v>
      </c>
      <c r="I8" s="44">
        <v>500000</v>
      </c>
    </row>
    <row r="9" spans="1:9" ht="14.4" x14ac:dyDescent="0.3">
      <c r="A9" s="43">
        <v>7</v>
      </c>
      <c r="B9" s="16" t="s">
        <v>48</v>
      </c>
      <c r="C9" s="46">
        <v>45601</v>
      </c>
      <c r="D9" s="44" t="s">
        <v>51</v>
      </c>
      <c r="E9" s="43"/>
      <c r="F9" s="43"/>
      <c r="G9" s="45" t="s">
        <v>57</v>
      </c>
      <c r="H9" s="44" t="s">
        <v>65</v>
      </c>
      <c r="I9" s="44">
        <v>286975</v>
      </c>
    </row>
    <row r="10" spans="1:9" ht="14.4" x14ac:dyDescent="0.3">
      <c r="A10" s="43">
        <v>8</v>
      </c>
      <c r="B10" s="16" t="s">
        <v>48</v>
      </c>
      <c r="C10" s="46">
        <v>45702</v>
      </c>
      <c r="D10" s="44" t="s">
        <v>52</v>
      </c>
      <c r="E10" s="43"/>
      <c r="F10" s="43"/>
      <c r="G10" s="45" t="s">
        <v>57</v>
      </c>
      <c r="H10" s="44" t="s">
        <v>66</v>
      </c>
      <c r="I10" s="44">
        <v>200000</v>
      </c>
    </row>
    <row r="11" spans="1:9" ht="14.4" x14ac:dyDescent="0.3">
      <c r="A11" s="43">
        <v>9</v>
      </c>
      <c r="B11" s="16" t="s">
        <v>48</v>
      </c>
      <c r="C11" s="46">
        <v>45702</v>
      </c>
      <c r="D11" s="44" t="s">
        <v>52</v>
      </c>
      <c r="E11" s="43"/>
      <c r="F11" s="43"/>
      <c r="G11" s="45" t="s">
        <v>57</v>
      </c>
      <c r="H11" s="44" t="s">
        <v>67</v>
      </c>
      <c r="I11" s="44">
        <v>250000</v>
      </c>
    </row>
    <row r="12" spans="1:9" ht="14.4" x14ac:dyDescent="0.3">
      <c r="A12" s="43">
        <v>10</v>
      </c>
      <c r="B12" s="16" t="s">
        <v>48</v>
      </c>
      <c r="C12" s="46">
        <v>45702</v>
      </c>
      <c r="D12" s="44" t="s">
        <v>51</v>
      </c>
      <c r="E12" s="43"/>
      <c r="F12" s="43"/>
      <c r="G12" s="45" t="s">
        <v>57</v>
      </c>
      <c r="H12" s="44" t="s">
        <v>68</v>
      </c>
      <c r="I12" s="44">
        <v>250000</v>
      </c>
    </row>
    <row r="13" spans="1:9" ht="14.4" x14ac:dyDescent="0.3">
      <c r="A13" s="43">
        <v>11</v>
      </c>
      <c r="B13" s="16" t="s">
        <v>48</v>
      </c>
      <c r="C13" s="46">
        <v>45705</v>
      </c>
      <c r="D13" s="44" t="s">
        <v>52</v>
      </c>
      <c r="E13" s="43"/>
      <c r="F13" s="43"/>
      <c r="G13" s="45" t="s">
        <v>57</v>
      </c>
      <c r="H13" s="44" t="s">
        <v>69</v>
      </c>
      <c r="I13" s="44">
        <v>86975</v>
      </c>
    </row>
    <row r="14" spans="1:9" ht="14.4" x14ac:dyDescent="0.3">
      <c r="A14" s="43">
        <v>12</v>
      </c>
      <c r="B14" s="16" t="s">
        <v>48</v>
      </c>
      <c r="C14" s="46">
        <v>45733</v>
      </c>
      <c r="D14" s="44" t="s">
        <v>52</v>
      </c>
      <c r="E14" s="43"/>
      <c r="F14" s="43"/>
      <c r="G14" s="45" t="s">
        <v>57</v>
      </c>
      <c r="H14" s="44" t="s">
        <v>70</v>
      </c>
      <c r="I14" s="44">
        <v>500000</v>
      </c>
    </row>
    <row r="15" spans="1:9" ht="14.4" x14ac:dyDescent="0.3">
      <c r="A15" s="43">
        <v>13</v>
      </c>
      <c r="B15" s="16" t="s">
        <v>48</v>
      </c>
      <c r="C15" s="46">
        <v>45734</v>
      </c>
      <c r="D15" s="44" t="s">
        <v>52</v>
      </c>
      <c r="E15" s="12"/>
      <c r="F15" s="12"/>
      <c r="G15" s="45" t="s">
        <v>57</v>
      </c>
      <c r="H15" s="44" t="s">
        <v>71</v>
      </c>
      <c r="I15" s="44">
        <v>286975</v>
      </c>
    </row>
    <row r="16" spans="1:9" ht="14.4" x14ac:dyDescent="0.3">
      <c r="A16" s="43">
        <v>14</v>
      </c>
      <c r="B16" s="16" t="s">
        <v>48</v>
      </c>
      <c r="C16" s="46">
        <v>45799</v>
      </c>
      <c r="D16" s="44" t="s">
        <v>53</v>
      </c>
      <c r="E16" s="12"/>
      <c r="F16" s="12"/>
      <c r="G16" s="45" t="s">
        <v>57</v>
      </c>
      <c r="H16" s="44" t="s">
        <v>72</v>
      </c>
      <c r="I16" s="44">
        <v>200000</v>
      </c>
    </row>
    <row r="17" spans="1:9" ht="14.4" x14ac:dyDescent="0.3">
      <c r="A17" s="43">
        <v>15</v>
      </c>
      <c r="B17" s="16" t="s">
        <v>48</v>
      </c>
      <c r="C17" s="46">
        <v>45805</v>
      </c>
      <c r="D17" s="44" t="s">
        <v>53</v>
      </c>
      <c r="E17" s="12"/>
      <c r="F17" s="12"/>
      <c r="G17" s="45" t="s">
        <v>57</v>
      </c>
      <c r="H17" s="44" t="s">
        <v>73</v>
      </c>
      <c r="I17" s="44">
        <v>400000</v>
      </c>
    </row>
    <row r="18" spans="1:9" ht="14.4" x14ac:dyDescent="0.3">
      <c r="A18" s="43">
        <v>16</v>
      </c>
      <c r="B18" s="16" t="s">
        <v>48</v>
      </c>
      <c r="C18" s="46">
        <v>45806</v>
      </c>
      <c r="D18" s="44" t="s">
        <v>53</v>
      </c>
      <c r="E18" s="12"/>
      <c r="F18" s="12"/>
      <c r="G18" s="45" t="s">
        <v>57</v>
      </c>
      <c r="H18" s="44" t="s">
        <v>74</v>
      </c>
      <c r="I18" s="44">
        <v>100000</v>
      </c>
    </row>
    <row r="19" spans="1:9" ht="14.4" x14ac:dyDescent="0.3">
      <c r="A19" s="43">
        <v>17</v>
      </c>
      <c r="B19" s="16" t="s">
        <v>48</v>
      </c>
      <c r="C19" s="46">
        <v>45808</v>
      </c>
      <c r="D19" s="44" t="s">
        <v>53</v>
      </c>
      <c r="E19" s="12"/>
      <c r="F19" s="12"/>
      <c r="G19" s="45" t="s">
        <v>57</v>
      </c>
      <c r="H19" s="44" t="s">
        <v>75</v>
      </c>
      <c r="I19" s="44">
        <v>80643</v>
      </c>
    </row>
    <row r="20" spans="1:9" ht="14.4" x14ac:dyDescent="0.3">
      <c r="A20" s="43">
        <v>18</v>
      </c>
      <c r="B20" s="16" t="s">
        <v>48</v>
      </c>
      <c r="C20" s="46">
        <v>45818</v>
      </c>
      <c r="D20" s="44" t="s">
        <v>53</v>
      </c>
      <c r="E20" s="12"/>
      <c r="F20" s="12"/>
      <c r="G20" s="45" t="s">
        <v>57</v>
      </c>
      <c r="H20" s="44" t="s">
        <v>76</v>
      </c>
      <c r="I20" s="44">
        <v>400000</v>
      </c>
    </row>
    <row r="21" spans="1:9" ht="14.4" x14ac:dyDescent="0.3">
      <c r="A21" s="43">
        <v>19</v>
      </c>
      <c r="B21" s="16" t="s">
        <v>48</v>
      </c>
      <c r="C21" s="46">
        <v>45854</v>
      </c>
      <c r="D21" s="44" t="s">
        <v>53</v>
      </c>
      <c r="E21" s="12"/>
      <c r="F21" s="12"/>
      <c r="G21" s="45" t="s">
        <v>57</v>
      </c>
      <c r="H21" s="44" t="s">
        <v>77</v>
      </c>
      <c r="I21" s="44">
        <v>200000</v>
      </c>
    </row>
    <row r="22" spans="1:9" ht="14.4" x14ac:dyDescent="0.3">
      <c r="A22" s="43">
        <v>20</v>
      </c>
      <c r="B22" s="16" t="s">
        <v>48</v>
      </c>
      <c r="C22" s="46">
        <v>45855</v>
      </c>
      <c r="D22" s="44" t="s">
        <v>53</v>
      </c>
      <c r="E22" s="12"/>
      <c r="F22" s="12"/>
      <c r="G22" s="45" t="s">
        <v>57</v>
      </c>
      <c r="H22" s="44" t="s">
        <v>78</v>
      </c>
      <c r="I22" s="44">
        <v>300000</v>
      </c>
    </row>
    <row r="23" spans="1:9" ht="14.4" x14ac:dyDescent="0.3">
      <c r="A23" s="43">
        <v>21</v>
      </c>
      <c r="B23" s="16" t="s">
        <v>48</v>
      </c>
      <c r="C23" s="46">
        <v>45856</v>
      </c>
      <c r="D23" s="44" t="s">
        <v>53</v>
      </c>
      <c r="E23" s="12"/>
      <c r="F23" s="12"/>
      <c r="G23" s="45" t="s">
        <v>57</v>
      </c>
      <c r="H23" s="44" t="s">
        <v>79</v>
      </c>
      <c r="I23" s="44">
        <v>86975</v>
      </c>
    </row>
    <row r="24" spans="1:9" ht="14.4" x14ac:dyDescent="0.3">
      <c r="A24" s="43">
        <v>22</v>
      </c>
      <c r="B24" s="16" t="s">
        <v>48</v>
      </c>
      <c r="C24" s="46">
        <v>45856</v>
      </c>
      <c r="D24" s="44" t="s">
        <v>53</v>
      </c>
      <c r="E24" s="12"/>
      <c r="F24" s="12"/>
      <c r="G24" s="45" t="s">
        <v>57</v>
      </c>
      <c r="H24" s="44" t="s">
        <v>80</v>
      </c>
      <c r="I24" s="44">
        <v>200000</v>
      </c>
    </row>
    <row r="25" spans="1:9" ht="14.4" x14ac:dyDescent="0.3">
      <c r="A25" s="43">
        <v>23</v>
      </c>
      <c r="B25" s="16" t="s">
        <v>48</v>
      </c>
      <c r="C25" s="46">
        <v>45916</v>
      </c>
      <c r="D25" s="44" t="s">
        <v>54</v>
      </c>
      <c r="E25" s="12"/>
      <c r="F25" s="12"/>
      <c r="G25" s="45" t="s">
        <v>57</v>
      </c>
      <c r="H25" s="44" t="s">
        <v>81</v>
      </c>
      <c r="I25" s="44">
        <v>400000</v>
      </c>
    </row>
    <row r="26" spans="1:9" ht="14.4" x14ac:dyDescent="0.3">
      <c r="A26" s="43">
        <v>24</v>
      </c>
      <c r="B26" s="16" t="s">
        <v>48</v>
      </c>
      <c r="C26" s="46">
        <v>45920</v>
      </c>
      <c r="D26" s="44" t="s">
        <v>55</v>
      </c>
      <c r="E26" s="12"/>
      <c r="F26" s="12"/>
      <c r="G26" s="45" t="s">
        <v>57</v>
      </c>
      <c r="H26" s="44" t="s">
        <v>82</v>
      </c>
      <c r="I26" s="44">
        <v>86975</v>
      </c>
    </row>
    <row r="27" spans="1:9" ht="14.4" x14ac:dyDescent="0.3">
      <c r="A27" s="43">
        <v>25</v>
      </c>
      <c r="B27" s="16" t="s">
        <v>48</v>
      </c>
      <c r="C27" s="46">
        <v>45930</v>
      </c>
      <c r="D27" s="44" t="s">
        <v>53</v>
      </c>
      <c r="E27" s="12"/>
      <c r="F27" s="12"/>
      <c r="G27" s="45" t="s">
        <v>57</v>
      </c>
      <c r="H27" s="44" t="s">
        <v>83</v>
      </c>
      <c r="I27" s="44">
        <v>300000</v>
      </c>
    </row>
    <row r="28" spans="1:9" ht="14.4" x14ac:dyDescent="0.3">
      <c r="A28" s="43">
        <v>26</v>
      </c>
      <c r="B28" s="16" t="s">
        <v>48</v>
      </c>
      <c r="C28" s="46">
        <v>46175</v>
      </c>
      <c r="D28" s="44" t="s">
        <v>53</v>
      </c>
      <c r="E28" s="12"/>
      <c r="F28" s="12"/>
      <c r="G28" s="45" t="s">
        <v>57</v>
      </c>
      <c r="H28" s="44" t="s">
        <v>84</v>
      </c>
      <c r="I28" s="44">
        <v>200000</v>
      </c>
    </row>
    <row r="29" spans="1:9" ht="14.4" x14ac:dyDescent="0.3">
      <c r="A29" s="43">
        <v>27</v>
      </c>
      <c r="B29" s="16" t="s">
        <v>48</v>
      </c>
      <c r="C29" s="46">
        <v>46203</v>
      </c>
      <c r="D29" s="44" t="s">
        <v>53</v>
      </c>
      <c r="E29" s="12"/>
      <c r="F29" s="12"/>
      <c r="G29" s="45" t="s">
        <v>57</v>
      </c>
      <c r="H29" s="44" t="s">
        <v>85</v>
      </c>
      <c r="I29" s="44">
        <v>114609</v>
      </c>
    </row>
    <row r="30" spans="1:9" ht="14.4" x14ac:dyDescent="0.3">
      <c r="A30" s="43">
        <v>28</v>
      </c>
      <c r="B30" s="16" t="s">
        <v>48</v>
      </c>
      <c r="C30" s="46">
        <v>46223</v>
      </c>
      <c r="D30" s="44" t="s">
        <v>56</v>
      </c>
      <c r="E30" s="12"/>
      <c r="F30" s="12"/>
      <c r="G30" s="45" t="s">
        <v>58</v>
      </c>
      <c r="H30" s="44" t="s">
        <v>86</v>
      </c>
      <c r="I30" s="44">
        <v>78698</v>
      </c>
    </row>
    <row r="31" spans="1:9" x14ac:dyDescent="0.3">
      <c r="A31" s="40" t="s">
        <v>35</v>
      </c>
      <c r="B31" s="40"/>
      <c r="C31" s="40"/>
      <c r="D31" s="40"/>
      <c r="E31" s="40"/>
      <c r="F31" s="40"/>
      <c r="G31" s="40"/>
      <c r="H31" s="40"/>
      <c r="I31" s="17">
        <f>SUM(I15:I30)</f>
        <v>3434875</v>
      </c>
    </row>
    <row r="32" spans="1:9" x14ac:dyDescent="0.3">
      <c r="A32" s="41" t="s">
        <v>37</v>
      </c>
      <c r="B32" s="41"/>
      <c r="C32" s="41"/>
      <c r="D32" s="41"/>
      <c r="E32" s="41"/>
      <c r="F32" s="41"/>
      <c r="G32" s="41"/>
      <c r="H32" s="41"/>
      <c r="I32" s="18">
        <f>'Applicants Details'!B4</f>
        <v>7869750</v>
      </c>
    </row>
    <row r="33" spans="1:9" x14ac:dyDescent="0.3">
      <c r="A33" s="40" t="s">
        <v>39</v>
      </c>
      <c r="B33" s="40"/>
      <c r="C33" s="40"/>
      <c r="D33" s="40"/>
      <c r="E33" s="40"/>
      <c r="F33" s="40"/>
      <c r="G33" s="40"/>
      <c r="H33" s="40"/>
      <c r="I33" s="17">
        <f>I32-I31</f>
        <v>4434875</v>
      </c>
    </row>
  </sheetData>
  <mergeCells count="4">
    <mergeCell ref="A1:I1"/>
    <mergeCell ref="A31:H31"/>
    <mergeCell ref="A32:H32"/>
    <mergeCell ref="A33:H33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  <headerFooter>
    <oddFooter>&amp;RCustomer Signature</oddFooter>
  </headerFooter>
  <ignoredErrors>
    <ignoredError sqref="I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B16" sqref="B15:B16"/>
    </sheetView>
  </sheetViews>
  <sheetFormatPr defaultColWidth="9.109375" defaultRowHeight="14.4" x14ac:dyDescent="0.3"/>
  <cols>
    <col min="1" max="1" width="25.109375" style="5" bestFit="1" customWidth="1"/>
    <col min="2" max="2" width="35.6640625" style="5" customWidth="1"/>
    <col min="3" max="3" width="9.109375" style="5"/>
    <col min="4" max="4" width="17" style="5" bestFit="1" customWidth="1"/>
    <col min="5" max="5" width="35.6640625" style="5" customWidth="1"/>
    <col min="6" max="16384" width="9.109375" style="5"/>
  </cols>
  <sheetData>
    <row r="1" spans="1:5" x14ac:dyDescent="0.3">
      <c r="A1" s="42" t="s">
        <v>40</v>
      </c>
      <c r="B1" s="42"/>
      <c r="C1" s="1"/>
      <c r="D1" s="42" t="s">
        <v>41</v>
      </c>
      <c r="E1" s="42"/>
    </row>
    <row r="2" spans="1:5" x14ac:dyDescent="0.3">
      <c r="A2" s="4" t="s">
        <v>42</v>
      </c>
      <c r="B2" s="2"/>
      <c r="C2" s="1"/>
      <c r="D2" s="4" t="s">
        <v>42</v>
      </c>
      <c r="E2" s="2"/>
    </row>
    <row r="3" spans="1:5" x14ac:dyDescent="0.3">
      <c r="A3" s="3" t="s">
        <v>43</v>
      </c>
      <c r="B3" s="2"/>
      <c r="C3" s="1"/>
      <c r="D3" s="3" t="s">
        <v>43</v>
      </c>
      <c r="E3" s="2"/>
    </row>
    <row r="4" spans="1:5" x14ac:dyDescent="0.3">
      <c r="A4" s="3" t="s">
        <v>46</v>
      </c>
      <c r="B4" s="2"/>
      <c r="C4" s="1"/>
      <c r="D4" s="3" t="s">
        <v>46</v>
      </c>
      <c r="E4" s="2"/>
    </row>
    <row r="5" spans="1:5" x14ac:dyDescent="0.3">
      <c r="A5" s="3" t="s">
        <v>13</v>
      </c>
      <c r="B5" s="8"/>
      <c r="C5" s="1"/>
      <c r="D5" s="3" t="s">
        <v>13</v>
      </c>
      <c r="E5" s="2"/>
    </row>
    <row r="6" spans="1:5" x14ac:dyDescent="0.3">
      <c r="A6" s="3" t="s">
        <v>14</v>
      </c>
      <c r="B6" s="2"/>
      <c r="C6" s="1"/>
      <c r="D6" s="3" t="s">
        <v>14</v>
      </c>
      <c r="E6" s="2"/>
    </row>
    <row r="7" spans="1:5" x14ac:dyDescent="0.3">
      <c r="A7" s="3" t="s">
        <v>16</v>
      </c>
      <c r="B7" s="6"/>
      <c r="C7" s="1"/>
      <c r="D7" s="3" t="s">
        <v>16</v>
      </c>
      <c r="E7" s="7"/>
    </row>
  </sheetData>
  <mergeCells count="2">
    <mergeCell ref="A1:B1"/>
    <mergeCell ref="D1:E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Applicants Details</vt:lpstr>
      <vt:lpstr>Payment Details</vt:lpstr>
      <vt:lpstr>Witness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Aman Jain</cp:lastModifiedBy>
  <cp:lastPrinted>2025-12-12T05:42:56Z</cp:lastPrinted>
  <dcterms:created xsi:type="dcterms:W3CDTF">2023-01-13T07:11:09Z</dcterms:created>
  <dcterms:modified xsi:type="dcterms:W3CDTF">2026-08-07T10:50:57Z</dcterms:modified>
</cp:coreProperties>
</file>